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egment Analysi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1" hidden="1">'Cleaned Data'!$A$1:$L$16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17365D"/>
    </font>
    <font>
      <b val="1"/>
    </font>
    <font>
      <b val="1"/>
      <color rgb="00FFFFFF"/>
      <sz val="11"/>
    </font>
    <font>
      <b val="1"/>
      <color rgb="0017365D"/>
      <sz val="20"/>
    </font>
    <font>
      <b val="1"/>
      <color rgb="0017365D"/>
      <sz val="18"/>
    </font>
    <font>
      <b val="1"/>
      <color rgb="00FFFFFF"/>
      <sz val="14"/>
    </font>
    <font>
      <b val="1"/>
      <color rgb="0017365D"/>
      <sz val="14"/>
    </font>
    <font>
      <b val="1"/>
      <color rgb="0017365D"/>
      <sz val="11"/>
    </font>
    <font>
      <color rgb="00222222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4DFE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7" fillId="4" borderId="2" applyAlignment="1" pivotButton="0" quotePrefix="0" xfId="0">
      <alignment horizontal="center" vertical="center"/>
    </xf>
    <xf numFmtId="0" fontId="0" fillId="4" borderId="2" pivotButton="0" quotePrefix="0" xfId="0"/>
    <xf numFmtId="165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9" fillId="2" borderId="0" pivotButton="0" quotePrefix="0" xfId="0"/>
    <xf numFmtId="0" fontId="5" fillId="4" borderId="0" pivotButton="0" quotePrefix="0" xfId="0"/>
    <xf numFmtId="165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Analysis'!$A$3:$A$5</f>
            </numRef>
          </cat>
          <val>
            <numRef>
              <f>'Segment Analysis'!$D$3:$D$5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Subscription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Analysis'!I2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Analysis'!$F$3:$F$5</f>
            </numRef>
          </cat>
          <val>
            <numRef>
              <f>'Segment Analysis'!$I$3:$I$5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Subscription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21" customWidth="1" min="5" max="5"/>
    <col width="18" customWidth="1" min="6" max="6"/>
    <col width="24" customWidth="1" min="7" max="7"/>
    <col width="18" customWidth="1" min="8" max="8"/>
  </cols>
  <sheetData>
    <row r="1" ht="32" customHeight="1">
      <c r="A1" s="1" t="inlineStr">
        <is>
          <t>BUSINESS KPI DASHBOARD — CUSTOMER CHURN</t>
        </is>
      </c>
    </row>
    <row r="2">
      <c r="A2" s="2" t="inlineStr">
        <is>
          <t>Synthetic customer sample | Select filters below to update KPI cards</t>
        </is>
      </c>
    </row>
    <row r="4">
      <c r="A4" s="3" t="inlineStr">
        <is>
          <t>Contract Type</t>
        </is>
      </c>
      <c r="B4" s="4" t="inlineStr">
        <is>
          <t>All</t>
        </is>
      </c>
      <c r="D4" s="3" t="inlineStr">
        <is>
          <t>Payment Method</t>
        </is>
      </c>
      <c r="E4" s="4" t="inlineStr">
        <is>
          <t>All</t>
        </is>
      </c>
      <c r="G4" s="3" t="inlineStr">
        <is>
          <t>Tenure Band</t>
        </is>
      </c>
      <c r="H4" s="4" t="inlineStr">
        <is>
          <t>All</t>
        </is>
      </c>
    </row>
    <row r="6">
      <c r="A6" s="5" t="inlineStr">
        <is>
          <t>Customers</t>
        </is>
      </c>
      <c r="B6" s="6" t="n"/>
      <c r="C6" s="5" t="inlineStr">
        <is>
          <t>Churn Rate</t>
        </is>
      </c>
      <c r="D6" s="6" t="n"/>
      <c r="E6" s="5" t="inlineStr">
        <is>
          <t>Retention Rate</t>
        </is>
      </c>
      <c r="F6" s="6" t="n"/>
      <c r="G6" s="5" t="inlineStr">
        <is>
          <t>Monthly Revenue at Risk</t>
        </is>
      </c>
      <c r="H6" s="6" t="n"/>
    </row>
    <row r="7" ht="30" customHeight="1">
      <c r="A7" s="7">
        <f>SUMPRODUCT((('Cleaned Data'!$H$2:$H$16=$B$4)+($B$4="All"))*(('Cleaned Data'!$J$2:$J$16=$E$4)+($E$4="All"))*(('Cleaned Data'!$L$2:$L$16=$H$4)+($H$4="All")))</f>
        <v/>
      </c>
      <c r="B7" s="8" t="n"/>
      <c r="C7" s="9">
        <f>IFERROR(SUMPRODUCT((('Cleaned Data'!$H$2:$H$16=$B$4)+($B$4="All"))*(('Cleaned Data'!$J$2:$J$16=$E$4)+($E$4="All"))*(('Cleaned Data'!$L$2:$L$16=$H$4)+($H$4="All"))*('Cleaned Data'!$K$2:$K$16="Yes"))/SUMPRODUCT((('Cleaned Data'!$H$2:$H$16=$B$4)+($B$4="All"))*(('Cleaned Data'!$J$2:$J$16=$E$4)+($E$4="All"))*(('Cleaned Data'!$L$2:$L$16=$H$4)+($H$4="All"))),0)</f>
        <v/>
      </c>
      <c r="D7" s="8" t="n"/>
      <c r="E7" s="9">
        <f>IFERROR(1-SUMPRODUCT((('Cleaned Data'!$H$2:$H$16=$B$4)+($B$4="All"))*(('Cleaned Data'!$J$2:$J$16=$E$4)+($E$4="All"))*(('Cleaned Data'!$L$2:$L$16=$H$4)+($H$4="All"))*('Cleaned Data'!$K$2:$K$16="Yes"))/SUMPRODUCT((('Cleaned Data'!$H$2:$H$16=$B$4)+($B$4="All"))*(('Cleaned Data'!$J$2:$J$16=$E$4)+($E$4="All"))*(('Cleaned Data'!$L$2:$L$16=$H$4)+($H$4="All"))),0)</f>
        <v/>
      </c>
      <c r="F7" s="8" t="n"/>
      <c r="G7" s="10">
        <f>SUMPRODUCT((('Cleaned Data'!$H$2:$H$16=$B$4)+($B$4="All"))*(('Cleaned Data'!$J$2:$J$16=$E$4)+($E$4="All"))*(('Cleaned Data'!$L$2:$L$16=$H$4)+($H$4="All"))*('Cleaned Data'!$K$2:$K$16="Yes")*'Cleaned Data'!$F$2:$F$16)</f>
        <v/>
      </c>
      <c r="H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10">
      <c r="A10" s="11" t="inlineStr">
        <is>
          <t>Average Tenure (months)</t>
        </is>
      </c>
    </row>
    <row r="11">
      <c r="A11" s="12">
        <f>IFERROR(SUMPRODUCT((('Cleaned Data'!$H$2:$H$16=$B$4)+($B$4="All"))*(('Cleaned Data'!$J$2:$J$16=$E$4)+($E$4="All"))*(('Cleaned Data'!$L$2:$L$16=$H$4)+($H$4="All"))*'Cleaned Data'!$D$2:$D$16)/SUMPRODUCT((('Cleaned Data'!$H$2:$H$16=$B$4)+($B$4="All"))*(('Cleaned Data'!$J$2:$J$16=$E$4)+($E$4="All"))*(('Cleaned Data'!$L$2:$L$16=$H$4)+($H$4="All"))),0)</f>
        <v/>
      </c>
    </row>
    <row r="12"/>
  </sheetData>
  <mergeCells count="12">
    <mergeCell ref="E6:F6"/>
    <mergeCell ref="C6:D6"/>
    <mergeCell ref="G7:H8"/>
    <mergeCell ref="C7:D8"/>
    <mergeCell ref="A7:B8"/>
    <mergeCell ref="A2:H2"/>
    <mergeCell ref="E7:F8"/>
    <mergeCell ref="A10:B10"/>
    <mergeCell ref="A11:B12"/>
    <mergeCell ref="G6:H6"/>
    <mergeCell ref="A1:H1"/>
    <mergeCell ref="A6:B6"/>
  </mergeCells>
  <dataValidations count="3">
    <dataValidation sqref="B4" showDropDown="0" showInputMessage="0" showErrorMessage="0" allowBlank="0" errorTitle="Invalid selection" error="Please choose a value from the dropdown list." promptTitle="Dashboard filter" prompt="Choose a filter option." type="list">
      <formula1>"All,Month-to-Month,One Year,Two Year"</formula1>
    </dataValidation>
    <dataValidation sqref="E4" showDropDown="0" showInputMessage="0" showErrorMessage="0" allowBlank="0" errorTitle="Invalid selection" error="Please choose a value from the dropdown list." promptTitle="Dashboard filter" prompt="Choose a filter option." type="list">
      <formula1>"All,Bank Transfer,Credit Card,Debit Card,UPI"</formula1>
    </dataValidation>
    <dataValidation sqref="H4" showDropDown="0" showInputMessage="0" showErrorMessage="0" allowBlank="0" errorTitle="Invalid selection" error="Please choose a value from the dropdown list." promptTitle="Dashboard filter" prompt="Choose a filter option." type="list">
      <formula1>"All,0-12 months,13-24 months,25+ months"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5" customWidth="1" min="10" max="10"/>
    <col width="14" customWidth="1" min="11" max="11"/>
    <col width="14" customWidth="1" min="12" max="12"/>
  </cols>
  <sheetData>
    <row r="1">
      <c r="A1" s="11" t="inlineStr">
        <is>
          <t>CustomerID</t>
        </is>
      </c>
      <c r="B1" s="11" t="inlineStr">
        <is>
          <t>Gender</t>
        </is>
      </c>
      <c r="C1" s="11" t="inlineStr">
        <is>
          <t>Age</t>
        </is>
      </c>
      <c r="D1" s="11" t="inlineStr">
        <is>
          <t>TenureMonths</t>
        </is>
      </c>
      <c r="E1" s="11" t="inlineStr">
        <is>
          <t>SubscriptionType</t>
        </is>
      </c>
      <c r="F1" s="11" t="inlineStr">
        <is>
          <t>MonthlyCharges</t>
        </is>
      </c>
      <c r="G1" s="11" t="inlineStr">
        <is>
          <t>TotalCharges</t>
        </is>
      </c>
      <c r="H1" s="11" t="inlineStr">
        <is>
          <t>ContractType</t>
        </is>
      </c>
      <c r="I1" s="11" t="inlineStr">
        <is>
          <t>SupportTickets</t>
        </is>
      </c>
      <c r="J1" s="11" t="inlineStr">
        <is>
          <t>PaymentMethod</t>
        </is>
      </c>
      <c r="K1" s="11" t="inlineStr">
        <is>
          <t>Churn</t>
        </is>
      </c>
      <c r="L1" s="11" t="inlineStr">
        <is>
          <t>TenureBand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s="13" t="n">
        <v>49.99</v>
      </c>
      <c r="G2" s="13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  <c r="L2" t="inlineStr">
        <is>
          <t>0-12 months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s="13" t="n">
        <v>79.98999999999999</v>
      </c>
      <c r="G3" s="1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  <c r="L3" t="inlineStr">
        <is>
          <t>13-24 months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s="13" t="n">
        <v>49.99</v>
      </c>
      <c r="G4" s="13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  <c r="L4" t="inlineStr">
        <is>
          <t>0-12 months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s="13" t="n">
        <v>149.99</v>
      </c>
      <c r="G5" s="13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  <c r="L5" t="inlineStr">
        <is>
          <t>25+ months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s="13" t="n">
        <v>79.98999999999999</v>
      </c>
      <c r="G6" s="13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  <c r="L6" t="inlineStr">
        <is>
          <t>0-12 months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s="13" t="n">
        <v>49.99</v>
      </c>
      <c r="G7" s="13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  <c r="L7" t="inlineStr">
        <is>
          <t>13-24 months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s="13" t="n">
        <v>49.99</v>
      </c>
      <c r="G8" s="13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  <c r="L8" t="inlineStr">
        <is>
          <t>0-12 months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s="13" t="n">
        <v>149.99</v>
      </c>
      <c r="G9" s="13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  <c r="L9" t="inlineStr">
        <is>
          <t>25+ months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s="13" t="n">
        <v>79.98999999999999</v>
      </c>
      <c r="G10" s="13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  <c r="L10" t="inlineStr">
        <is>
          <t>13-24 months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s="13" t="n">
        <v>49.99</v>
      </c>
      <c r="G11" s="13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  <c r="L11" t="inlineStr">
        <is>
          <t>0-12 months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s="13" t="n">
        <v>149.99</v>
      </c>
      <c r="G12" s="13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  <c r="L12" t="inlineStr">
        <is>
          <t>25+ months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s="13" t="n">
        <v>79.98999999999999</v>
      </c>
      <c r="G13" s="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  <c r="L13" t="inlineStr">
        <is>
          <t>13-24 months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s="13" t="n">
        <v>49.99</v>
      </c>
      <c r="G14" s="13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  <c r="L14" t="inlineStr">
        <is>
          <t>13-24 months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s="13" t="n">
        <v>49.99</v>
      </c>
      <c r="G15" s="13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  <c r="L15" t="inlineStr">
        <is>
          <t>0-12 months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s="13" t="n">
        <v>149.99</v>
      </c>
      <c r="G16" s="13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  <c r="L16" t="inlineStr">
        <is>
          <t>25+ months</t>
        </is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7" customWidth="1" min="4" max="4"/>
    <col width="20" customWidth="1" min="5" max="5"/>
    <col width="20" customWidth="1" min="6" max="6"/>
    <col width="17" customWidth="1" min="7" max="7"/>
    <col width="17" customWidth="1" min="8" max="8"/>
    <col width="17" customWidth="1" min="9" max="9"/>
  </cols>
  <sheetData>
    <row r="1">
      <c r="A1" s="14" t="inlineStr">
        <is>
          <t>Churn by Contract Type</t>
        </is>
      </c>
      <c r="F1" s="14" t="inlineStr">
        <is>
          <t>Churn by Subscription Type</t>
        </is>
      </c>
    </row>
    <row r="2">
      <c r="A2" s="15" t="inlineStr">
        <is>
          <t>Contract Type</t>
        </is>
      </c>
      <c r="B2" s="15" t="inlineStr">
        <is>
          <t>Customers</t>
        </is>
      </c>
      <c r="C2" s="15" t="inlineStr">
        <is>
          <t>Churned</t>
        </is>
      </c>
      <c r="D2" s="15" t="inlineStr">
        <is>
          <t>Churn Rate</t>
        </is>
      </c>
      <c r="F2" s="15" t="inlineStr">
        <is>
          <t>Subscription Type</t>
        </is>
      </c>
      <c r="G2" s="15" t="inlineStr">
        <is>
          <t>Customers</t>
        </is>
      </c>
      <c r="H2" s="15" t="inlineStr">
        <is>
          <t>Churned</t>
        </is>
      </c>
      <c r="I2" s="15" t="inlineStr">
        <is>
          <t>Churn Rate</t>
        </is>
      </c>
    </row>
    <row r="3">
      <c r="A3" t="inlineStr">
        <is>
          <t>Month-to-Month</t>
        </is>
      </c>
      <c r="B3">
        <f>COUNTIF('Cleaned Data'!$H$2:$H$16,A3)</f>
        <v/>
      </c>
      <c r="C3">
        <f>COUNTIFS('Cleaned Data'!$H$2:$H$16,A3,'Cleaned Data'!$K$2:$K$16,"Yes")</f>
        <v/>
      </c>
      <c r="D3" s="16">
        <f>IFERROR(C3/B3,0)</f>
        <v/>
      </c>
      <c r="F3" t="inlineStr">
        <is>
          <t>Basic</t>
        </is>
      </c>
      <c r="G3">
        <f>COUNTIF('Cleaned Data'!$E$2:$E$16,F3)</f>
        <v/>
      </c>
      <c r="H3">
        <f>COUNTIFS('Cleaned Data'!$E$2:$E$16,F3,'Cleaned Data'!$K$2:$K$16,"Yes")</f>
        <v/>
      </c>
      <c r="I3" s="16">
        <f>IFERROR(H3/G3,0)</f>
        <v/>
      </c>
    </row>
    <row r="4">
      <c r="A4" t="inlineStr">
        <is>
          <t>One Year</t>
        </is>
      </c>
      <c r="B4">
        <f>COUNTIF('Cleaned Data'!$H$2:$H$16,A4)</f>
        <v/>
      </c>
      <c r="C4">
        <f>COUNTIFS('Cleaned Data'!$H$2:$H$16,A4,'Cleaned Data'!$K$2:$K$16,"Yes")</f>
        <v/>
      </c>
      <c r="D4" s="16">
        <f>IFERROR(C4/B4,0)</f>
        <v/>
      </c>
      <c r="F4" t="inlineStr">
        <is>
          <t>Enterprise</t>
        </is>
      </c>
      <c r="G4">
        <f>COUNTIF('Cleaned Data'!$E$2:$E$16,F4)</f>
        <v/>
      </c>
      <c r="H4">
        <f>COUNTIFS('Cleaned Data'!$E$2:$E$16,F4,'Cleaned Data'!$K$2:$K$16,"Yes")</f>
        <v/>
      </c>
      <c r="I4" s="16">
        <f>IFERROR(H4/G4,0)</f>
        <v/>
      </c>
    </row>
    <row r="5">
      <c r="A5" t="inlineStr">
        <is>
          <t>Two Year</t>
        </is>
      </c>
      <c r="B5">
        <f>COUNTIF('Cleaned Data'!$H$2:$H$16,A5)</f>
        <v/>
      </c>
      <c r="C5">
        <f>COUNTIFS('Cleaned Data'!$H$2:$H$16,A5,'Cleaned Data'!$K$2:$K$16,"Yes")</f>
        <v/>
      </c>
      <c r="D5" s="16">
        <f>IFERROR(C5/B5,0)</f>
        <v/>
      </c>
      <c r="F5" t="inlineStr">
        <is>
          <t>Pro</t>
        </is>
      </c>
      <c r="G5">
        <f>COUNTIF('Cleaned Data'!$E$2:$E$16,F5)</f>
        <v/>
      </c>
      <c r="H5">
        <f>COUNTIFS('Cleaned Data'!$E$2:$E$16,F5,'Cleaned Data'!$K$2:$K$16,"Yes")</f>
        <v/>
      </c>
      <c r="I5" s="16">
        <f>IFERROR(H5/G5,0)</f>
        <v/>
      </c>
    </row>
    <row r="8">
      <c r="A8" s="14" t="inlineStr">
        <is>
          <t>Churn by Payment Method</t>
        </is>
      </c>
    </row>
    <row r="9">
      <c r="A9" s="15" t="inlineStr">
        <is>
          <t>Payment Method</t>
        </is>
      </c>
      <c r="B9" s="15" t="inlineStr">
        <is>
          <t>Customers</t>
        </is>
      </c>
      <c r="C9" s="15" t="inlineStr">
        <is>
          <t>Churned</t>
        </is>
      </c>
      <c r="D9" s="15" t="inlineStr">
        <is>
          <t>Churn Rate</t>
        </is>
      </c>
    </row>
    <row r="10">
      <c r="A10" t="inlineStr">
        <is>
          <t>Bank Transfer</t>
        </is>
      </c>
      <c r="B10">
        <f>COUNTIF('Cleaned Data'!$J$2:$J$16,A10)</f>
        <v/>
      </c>
      <c r="C10">
        <f>COUNTIFS('Cleaned Data'!$J$2:$J$16,A10,'Cleaned Data'!$K$2:$K$16,"Yes")</f>
        <v/>
      </c>
      <c r="D10" s="16">
        <f>IFERROR(C10/B10,0)</f>
        <v/>
      </c>
    </row>
    <row r="11">
      <c r="A11" t="inlineStr">
        <is>
          <t>Credit Card</t>
        </is>
      </c>
      <c r="B11">
        <f>COUNTIF('Cleaned Data'!$J$2:$J$16,A11)</f>
        <v/>
      </c>
      <c r="C11">
        <f>COUNTIFS('Cleaned Data'!$J$2:$J$16,A11,'Cleaned Data'!$K$2:$K$16,"Yes")</f>
        <v/>
      </c>
      <c r="D11" s="16">
        <f>IFERROR(C11/B11,0)</f>
        <v/>
      </c>
    </row>
    <row r="12">
      <c r="A12" t="inlineStr">
        <is>
          <t>Debit Card</t>
        </is>
      </c>
      <c r="B12">
        <f>COUNTIF('Cleaned Data'!$J$2:$J$16,A12)</f>
        <v/>
      </c>
      <c r="C12">
        <f>COUNTIFS('Cleaned Data'!$J$2:$J$16,A12,'Cleaned Data'!$K$2:$K$16,"Yes")</f>
        <v/>
      </c>
      <c r="D12" s="16">
        <f>IFERROR(C12/B12,0)</f>
        <v/>
      </c>
    </row>
    <row r="13">
      <c r="A13" t="inlineStr">
        <is>
          <t>UPI</t>
        </is>
      </c>
      <c r="B13">
        <f>COUNTIF('Cleaned Data'!$J$2:$J$16,A13)</f>
        <v/>
      </c>
      <c r="C13">
        <f>COUNTIFS('Cleaned Data'!$J$2:$J$16,A13,'Cleaned Data'!$K$2:$K$16,"Yes")</f>
        <v/>
      </c>
      <c r="D13" s="16">
        <f>IFERROR(C13/B13,0)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36" customHeight="1">
      <c r="A1" s="17" t="inlineStr">
        <is>
          <t>BUSINESS KPI DASHBOARD — TASK 3</t>
        </is>
      </c>
    </row>
    <row r="2" ht="30" customHeight="1">
      <c r="A2" s="18" t="inlineStr">
        <is>
          <t>Purpose</t>
        </is>
      </c>
    </row>
    <row r="3" ht="30" customHeight="1">
      <c r="A3" s="19" t="inlineStr">
        <is>
          <t>Turn the cleaned synthetic customer churn data into decision-ready KPIs and readable visualizations.</t>
        </is>
      </c>
    </row>
    <row r="4" ht="30" customHeight="1">
      <c r="A4" s="18" t="inlineStr">
        <is>
          <t>How to use the dashboard</t>
        </is>
      </c>
    </row>
    <row r="5" ht="30" customHeight="1">
      <c r="A5" s="19" t="inlineStr">
        <is>
          <t>1. Open the Dashboard sheet.</t>
        </is>
      </c>
    </row>
    <row r="6" ht="30" customHeight="1">
      <c r="A6" s="19" t="inlineStr">
        <is>
          <t>2. Use the dropdowns in B4 (Contract Type), E4 (Payment Method), and H4 (Tenure Band).</t>
        </is>
      </c>
    </row>
    <row r="7" ht="30" customHeight="1">
      <c r="A7" s="19" t="inlineStr">
        <is>
          <t>3. KPI cards update based on the selected filters when opened in Excel or compatible spreadsheet software.</t>
        </is>
      </c>
    </row>
    <row r="8" ht="30" customHeight="1">
      <c r="A8" s="19" t="inlineStr">
        <is>
          <t>4. View charts on the Dashboard sheet and detailed segment tables on Segment Analysis.</t>
        </is>
      </c>
    </row>
    <row r="9" ht="30" customHeight="1">
      <c r="A9" s="18" t="inlineStr">
        <is>
          <t>KPI definitions</t>
        </is>
      </c>
    </row>
    <row r="10" ht="30" customHeight="1">
      <c r="A10" s="19" t="inlineStr">
        <is>
          <t>Churn Rate = churned customers / customers in selected filter.</t>
        </is>
      </c>
    </row>
    <row r="11" ht="30" customHeight="1">
      <c r="A11" s="19" t="inlineStr">
        <is>
          <t>Retention Rate = 1 - churn rate.</t>
        </is>
      </c>
    </row>
    <row r="12" ht="30" customHeight="1">
      <c r="A12" s="19" t="inlineStr">
        <is>
          <t>Monthly Revenue at Risk = sum of MonthlyCharges for customers marked Churn = Yes in the selected filter. This is a proxy for monthly recurring revenue at risk, not a forecast.</t>
        </is>
      </c>
    </row>
    <row r="13" ht="30" customHeight="1">
      <c r="A13" s="19" t="inlineStr">
        <is>
          <t>Average Tenure = average TenureMonths for customers in selected filter.</t>
        </is>
      </c>
    </row>
    <row r="14" ht="30" customHeight="1">
      <c r="A14" s="18" t="inlineStr">
        <is>
          <t>Dataset scope and limitations</t>
        </is>
      </c>
    </row>
    <row r="15" ht="30" customHeight="1">
      <c r="A15" s="19" t="inlineStr">
        <is>
          <t>The dataset contains 15 synthetic customer records. Rates can change substantially with a few customers and are not representative of a real business without validation.</t>
        </is>
      </c>
    </row>
    <row r="16" ht="30" customHeight="1">
      <c r="A16" s="19" t="inlineStr">
        <is>
          <t>This dashboard is descriptive; it does not predict churn or prove causes.</t>
        </is>
      </c>
    </row>
    <row r="17" ht="30" customHeight="1">
      <c r="A17" s="18" t="inlineStr">
        <is>
          <t>Submission</t>
        </is>
      </c>
    </row>
    <row r="18" ht="30" customHeight="1">
      <c r="A18" s="19" t="inlineStr">
        <is>
          <t>Upload this workbook and the accompanying data_quality_report.md to a public GitHub repository or a view-only folder, then submit one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2026-10-18T15:30:43Z</dcterms:created>
  <dcterms:modified xmlns:dcterms="http://purl.org/dc/terms/" xmlns:xsi="http://www.w3.org/2001/XMLSchema-instance" xsi:type="dcterms:W3CDTF">2026-10-18T15:30:43Z</dcterms:modified>
</cp:coreProperties>
</file>