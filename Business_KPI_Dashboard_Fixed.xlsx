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leaned Data" sheetId="2" state="visible" r:id="rId4"/>
    <sheet name="Segment Analysis" sheetId="3" state="visible" r:id="rId5"/>
    <sheet name="Read Me" sheetId="4" state="visible" r:id="rId6"/>
  </sheets>
  <definedNames>
    <definedName function="false" hidden="true" localSheetId="1" name="_xlnm._FilterDatabase" vbProcedure="false">'Cleaned Data'!$A$1:$L$16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<sst xmlns="http://schemas.openxmlformats.org/spreadsheetml/2006/main" count="173" uniqueCount="78">
  <si>
    <t xml:space="preserve">BUSINESS KPI DASHBOARD — CUSTOMER CHURN</t>
  </si>
  <si>
    <t xml:space="preserve">Synthetic customer sample | Select filters below to update KPI cards</t>
  </si>
  <si>
    <t xml:space="preserve">Contract Type</t>
  </si>
  <si>
    <t xml:space="preserve">All</t>
  </si>
  <si>
    <t xml:space="preserve">Payment Method</t>
  </si>
  <si>
    <t xml:space="preserve">Tenure Band</t>
  </si>
  <si>
    <t xml:space="preserve">Customers</t>
  </si>
  <si>
    <t xml:space="preserve">Churn Rate</t>
  </si>
  <si>
    <t xml:space="preserve">Retention Rate</t>
  </si>
  <si>
    <t xml:space="preserve">Monthly Revenue at Risk</t>
  </si>
  <si>
    <t xml:space="preserve">Average Tenure (months)</t>
  </si>
  <si>
    <t xml:space="preserve">CustomerID</t>
  </si>
  <si>
    <t xml:space="preserve">Gender</t>
  </si>
  <si>
    <t xml:space="preserve">Age</t>
  </si>
  <si>
    <t xml:space="preserve">TenureMonths</t>
  </si>
  <si>
    <t xml:space="preserve">SubscriptionType</t>
  </si>
  <si>
    <t xml:space="preserve">MonthlyCharges</t>
  </si>
  <si>
    <t xml:space="preserve">TotalCharges</t>
  </si>
  <si>
    <t xml:space="preserve">ContractType</t>
  </si>
  <si>
    <t xml:space="preserve">SupportTickets</t>
  </si>
  <si>
    <t xml:space="preserve">PaymentMethod</t>
  </si>
  <si>
    <t xml:space="preserve">Churn</t>
  </si>
  <si>
    <t xml:space="preserve">TenureBand</t>
  </si>
  <si>
    <t xml:space="preserve">CUST-1001</t>
  </si>
  <si>
    <t xml:space="preserve">Female</t>
  </si>
  <si>
    <t xml:space="preserve">Basic</t>
  </si>
  <si>
    <t xml:space="preserve">Month-to-Month</t>
  </si>
  <si>
    <t xml:space="preserve">Credit Card</t>
  </si>
  <si>
    <t xml:space="preserve">Yes</t>
  </si>
  <si>
    <t xml:space="preserve">0-12 months</t>
  </si>
  <si>
    <t xml:space="preserve">CUST-1002</t>
  </si>
  <si>
    <t xml:space="preserve">Male</t>
  </si>
  <si>
    <t xml:space="preserve">Pro</t>
  </si>
  <si>
    <t xml:space="preserve">One Year</t>
  </si>
  <si>
    <t xml:space="preserve">Bank Transfer</t>
  </si>
  <si>
    <t xml:space="preserve">No</t>
  </si>
  <si>
    <t xml:space="preserve">13-24 months</t>
  </si>
  <si>
    <t xml:space="preserve">CUST-1003</t>
  </si>
  <si>
    <t xml:space="preserve">UPI</t>
  </si>
  <si>
    <t xml:space="preserve">CUST-1004</t>
  </si>
  <si>
    <t xml:space="preserve">Enterprise</t>
  </si>
  <si>
    <t xml:space="preserve">Two Year</t>
  </si>
  <si>
    <t xml:space="preserve">25+ months</t>
  </si>
  <si>
    <t xml:space="preserve">CUST-1005</t>
  </si>
  <si>
    <t xml:space="preserve">Debit Card</t>
  </si>
  <si>
    <t xml:space="preserve">CUST-1006</t>
  </si>
  <si>
    <t xml:space="preserve">CUST-1007</t>
  </si>
  <si>
    <t xml:space="preserve">CUST-1008</t>
  </si>
  <si>
    <t xml:space="preserve">CUST-1009</t>
  </si>
  <si>
    <t xml:space="preserve">CUST-1010</t>
  </si>
  <si>
    <t xml:space="preserve">CUST-1011</t>
  </si>
  <si>
    <t xml:space="preserve">CUST-1012</t>
  </si>
  <si>
    <t xml:space="preserve">CUST-1013</t>
  </si>
  <si>
    <t xml:space="preserve">CUST-1014</t>
  </si>
  <si>
    <t xml:space="preserve">CUST-1015</t>
  </si>
  <si>
    <t xml:space="preserve">Churn by Contract Type</t>
  </si>
  <si>
    <t xml:space="preserve">Churn by Subscription Type</t>
  </si>
  <si>
    <t xml:space="preserve">Churned</t>
  </si>
  <si>
    <t xml:space="preserve">Subscription Type</t>
  </si>
  <si>
    <t xml:space="preserve">Churn by Payment Method</t>
  </si>
  <si>
    <t xml:space="preserve">BUSINESS KPI DASHBOARD — TASK 3</t>
  </si>
  <si>
    <t xml:space="preserve">Purpose</t>
  </si>
  <si>
    <t xml:space="preserve">Turn the cleaned synthetic customer churn data into decision-ready KPIs and readable visualizations.</t>
  </si>
  <si>
    <t xml:space="preserve">How to use the dashboard</t>
  </si>
  <si>
    <t xml:space="preserve">1. Open the Dashboard sheet.</t>
  </si>
  <si>
    <t xml:space="preserve">2. Use the dropdowns in B4 (Contract Type), E4 (Payment Method), and H4 (Tenure Band).</t>
  </si>
  <si>
    <t xml:space="preserve">3. KPI cards update based on the selected filters when opened in Excel or compatible spreadsheet software.</t>
  </si>
  <si>
    <t xml:space="preserve">4. View charts on the Dashboard sheet and detailed segment tables on Segment Analysis.</t>
  </si>
  <si>
    <t xml:space="preserve">KPI definitions</t>
  </si>
  <si>
    <t xml:space="preserve">Churn Rate = churned customers / customers in selected filter.</t>
  </si>
  <si>
    <t xml:space="preserve">Retention Rate = 1 - churn rate.</t>
  </si>
  <si>
    <t xml:space="preserve">Monthly Revenue at Risk = sum of MonthlyCharges for customers marked Churn = Yes in the selected filter. This is a proxy for monthly recurring revenue at risk, not a forecast.</t>
  </si>
  <si>
    <t xml:space="preserve">Average Tenure = average TenureMonths for customers in selected filter.</t>
  </si>
  <si>
    <t xml:space="preserve">Dataset scope and limitations</t>
  </si>
  <si>
    <t xml:space="preserve">The dataset contains 15 synthetic customer records. Rates can change substantially with a few customers and are not representative of a real business without validation.</t>
  </si>
  <si>
    <t xml:space="preserve">This dashboard is descriptive; it does not predict churn or prove causes.</t>
  </si>
  <si>
    <t xml:space="preserve">Submission</t>
  </si>
  <si>
    <t xml:space="preserve">Upload this workbook and the accompanying data_quality_report.md to a public GitHub repository or a view-only folder, then submit one link.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</si>
</sst>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₹#,##0.00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0"/>
      <color rgb="FF17365D"/>
      <name val="Cambria"/>
      <family val="0"/>
      <charset val="1"/>
    </font>
    <font>
      <b val="true"/>
      <sz val="18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mbria"/>
      <family val="0"/>
      <charset val="1"/>
    </font>
    <font>
      <b val="true"/>
      <sz val="14"/>
      <color rgb="FF17365D"/>
      <name val="Cambria"/>
      <family val="0"/>
      <charset val="1"/>
    </font>
    <font>
      <sz val="11"/>
      <color rgb="FF22222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4DFEC"/>
        <bgColor rgb="FFD9E1F2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78787"/>
      <rgbColor rgb="FF9999FF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Analysis'!D2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Analysis'!$A$3:$A$5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'Segment Analysis'!$D$3:$D$5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2589570"/>
        <c:axId val="50565067"/>
      </c:barChart>
      <c:catAx>
        <c:axId val="625895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Contract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65067"/>
        <c:crosses val="autoZero"/>
        <c:auto val="1"/>
        <c:lblAlgn val="ctr"/>
        <c:lblOffset val="100"/>
        <c:noMultiLvlLbl val="0"/>
      </c:catAx>
      <c:valAx>
        <c:axId val="50565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589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Subscription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Analysis'!I2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Analysis'!$F$3:$F$5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'Segment Analysis'!$I$3:$I$5</c:f>
              <c:numCache>
                <c:formatCode>0.0%</c:formatCode>
                <c:ptCount val="3"/>
                <c:pt idx="0">
                  <c:v>0.714285714285714</c:v>
                </c:pt>
                <c:pt idx="1">
                  <c:v>0</c:v>
                </c:pt>
                <c:pt idx="2">
                  <c:v>0.5</c:v>
                </c:pt>
              </c:numCache>
            </c:numRef>
          </c:val>
        </c:ser>
        <c:gapWidth val="150"/>
        <c:overlap val="0"/>
        <c:axId val="26629147"/>
        <c:axId val="79214001"/>
      </c:barChart>
      <c:catAx>
        <c:axId val="266291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Subscription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14001"/>
        <c:crosses val="autoZero"/>
        <c:auto val="1"/>
        <c:lblAlgn val="ctr"/>
        <c:lblOffset val="100"/>
        <c:noMultiLvlLbl val="0"/>
      </c:catAx>
      <c:valAx>
        <c:axId val="79214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29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3</xdr:col>
      <xdr:colOff>90360</xdr:colOff>
      <xdr:row>26</xdr:row>
      <xdr:rowOff>43200</xdr:rowOff>
    </xdr:to>
    <xdr:graphicFrame>
      <xdr:nvGraphicFramePr>
        <xdr:cNvPr id="0" name="Chart 1"/>
        <xdr:cNvGraphicFramePr/>
      </xdr:nvGraphicFramePr>
      <xdr:xfrm>
        <a:off x="0" y="2933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13</xdr:row>
      <xdr:rowOff>0</xdr:rowOff>
    </xdr:from>
    <xdr:to>
      <xdr:col>6</xdr:col>
      <xdr:colOff>1570680</xdr:colOff>
      <xdr:row>26</xdr:row>
      <xdr:rowOff>43200</xdr:rowOff>
    </xdr:to>
    <xdr:graphicFrame>
      <xdr:nvGraphicFramePr>
        <xdr:cNvPr id="1" name="Chart 2"/>
        <xdr:cNvGraphicFramePr/>
      </xdr:nvGraphicFramePr>
      <xdr:xfrm>
        <a:off x="5497920" y="2933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8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E4" s="4" t="s">
        <v>3</v>
      </c>
      <c r="G4" s="3" t="s">
        <v>5</v>
      </c>
      <c r="H4" s="4" t="s">
        <v>3</v>
      </c>
    </row>
    <row r="6" customFormat="false" ht="15" hidden="false" customHeight="false" outlineLevel="0" collapsed="false">
      <c r="A6" s="5" t="s">
        <v>6</v>
      </c>
      <c r="B6" s="5"/>
      <c r="C6" s="5" t="s">
        <v>7</v>
      </c>
      <c r="D6" s="5"/>
      <c r="E6" s="5" t="s">
        <v>8</v>
      </c>
      <c r="F6" s="5"/>
      <c r="G6" s="5" t="s">
        <v>9</v>
      </c>
      <c r="H6" s="5"/>
    </row>
    <row r="7" customFormat="false" ht="30" hidden="false" customHeight="true" outlineLevel="0" collapsed="false">
      <c r="A7" s="6" t="n">
        <f aca="false">SUMPRODUCT((('Cleaned Data'!$H$2:$H$16=$B$4)+($B$4="All"))*(('Cleaned Data'!$J$2:$J$16=$E$4)+($E$4="All"))*(('Cleaned Data'!$L$2:$L$16=$H$4)+($H$4="All")))</f>
        <v>15</v>
      </c>
      <c r="B7" s="6"/>
      <c r="C7" s="7" t="n">
        <f aca="false">IFERROR(SUMPRODUCT((('Cleaned Data'!$H$2:$H$16=$B$4)+($B$4="All"))*(('Cleaned Data'!$J$2:$J$16=$E$4)+($E$4="All"))*(('Cleaned Data'!$L$2:$L$16=$H$4)+($H$4="All"))*('Cleaned Data'!$K$2:$K$16="Yes"))/SUMPRODUCT((('Cleaned Data'!$H$2:$H$16=$B$4)+($B$4="All"))*(('Cleaned Data'!$J$2:$J$16=$E$4)+($E$4="All"))*(('Cleaned Data'!$L$2:$L$16=$H$4)+($H$4="All"))),0)</f>
        <v>0.466666666666667</v>
      </c>
      <c r="D7" s="7"/>
      <c r="E7" s="7" t="n">
        <f aca="false">IFERROR(1-SUMPRODUCT((('Cleaned Data'!$H$2:$H$16=$B$4)+($B$4="All"))*(('Cleaned Data'!$J$2:$J$16=$E$4)+($E$4="All"))*(('Cleaned Data'!$L$2:$L$16=$H$4)+($H$4="All"))*('Cleaned Data'!$K$2:$K$16="Yes"))/SUMPRODUCT((('Cleaned Data'!$H$2:$H$16=$B$4)+($B$4="All"))*(('Cleaned Data'!$J$2:$J$16=$E$4)+($E$4="All"))*(('Cleaned Data'!$L$2:$L$16=$H$4)+($H$4="All"))),0)</f>
        <v>0.533333333333333</v>
      </c>
      <c r="F7" s="7"/>
      <c r="G7" s="8" t="n">
        <f aca="false">SUMPRODUCT((('Cleaned Data'!$H$2:$H$16=$B$4)+($B$4="All"))*(('Cleaned Data'!$J$2:$J$16=$E$4)+($E$4="All"))*(('Cleaned Data'!$L$2:$L$16=$H$4)+($H$4="All"))*('Cleaned Data'!$K$2:$K$16="Yes")*'Cleaned Data'!$F$2:$F$16)</f>
        <v>409.93</v>
      </c>
      <c r="H7" s="8"/>
    </row>
    <row r="8" customFormat="false" ht="19.5" hidden="false" customHeight="true" outlineLevel="0" collapsed="false">
      <c r="A8" s="6"/>
      <c r="B8" s="6"/>
      <c r="C8" s="7"/>
      <c r="D8" s="7"/>
      <c r="E8" s="7"/>
      <c r="F8" s="7"/>
      <c r="G8" s="8"/>
      <c r="H8" s="8"/>
    </row>
    <row r="10" customFormat="false" ht="15" hidden="false" customHeight="false" outlineLevel="0" collapsed="false">
      <c r="A10" s="9" t="s">
        <v>10</v>
      </c>
      <c r="B10" s="9"/>
    </row>
    <row r="11" customFormat="false" ht="15" hidden="false" customHeight="false" outlineLevel="0" collapsed="false">
      <c r="A11" s="10" t="n">
        <f aca="false">IFERROR(SUMPRODUCT((('Cleaned Data'!$H$2:$H$16=$B$4)+($B$4="All"))*(('Cleaned Data'!$J$2:$J$16=$E$4)+($E$4="All"))*(('Cleaned Data'!$L$2:$L$16=$H$4)+($H$4="All"))*'Cleaned Data'!$D$2:$D$16)/SUMPRODUCT((('Cleaned Data'!$H$2:$H$16=$B$4)+($B$4="All"))*(('Cleaned Data'!$J$2:$J$16=$E$4)+($E$4="All"))*(('Cleaned Data'!$L$2:$L$16=$H$4)+($H$4="All"))),0)</f>
        <v>18.8</v>
      </c>
      <c r="B11" s="10"/>
    </row>
    <row r="12" customFormat="false" ht="15" hidden="false" customHeight="false" outlineLevel="0" collapsed="false">
      <c r="A12" s="10"/>
      <c r="B12" s="10"/>
    </row>
  </sheetData>
  <mergeCells count="12">
    <mergeCell ref="A1:H1"/>
    <mergeCell ref="A2:H2"/>
    <mergeCell ref="A6:B6"/>
    <mergeCell ref="C6:D6"/>
    <mergeCell ref="E6:F6"/>
    <mergeCell ref="G6:H6"/>
    <mergeCell ref="A7:B8"/>
    <mergeCell ref="C7:D8"/>
    <mergeCell ref="E7:F8"/>
    <mergeCell ref="G7:H8"/>
    <mergeCell ref="A10:B10"/>
    <mergeCell ref="A11:B12"/>
  </mergeCells>
  <dataValidations count="3">
    <dataValidation allowBlank="false" error="Please choose a value from the dropdown list." errorStyle="stop" errorTitle="Invalid selection" operator="between" prompt="Choose a filter option." promptTitle="Dashboard filter" showDropDown="false" showErrorMessage="false" showInputMessage="false" sqref="B4" type="list">
      <formula1>"All,Month-to-Month,One Year,Two Year"</formula1>
      <formula2>0</formula2>
    </dataValidation>
    <dataValidation allowBlank="false" error="Please choose a value from the dropdown list." errorStyle="stop" errorTitle="Invalid selection" operator="between" prompt="Choose a filter option." promptTitle="Dashboard filter" showDropDown="false" showErrorMessage="false" showInputMessage="false" sqref="E4" type="list">
      <formula1>"All,Bank Transfer,Credit Card,Debit Card,UPI"</formula1>
      <formula2>0</formula2>
    </dataValidation>
    <dataValidation allowBlank="false" error="Please choose a value from the dropdown list." errorStyle="stop" errorTitle="Invalid selection" operator="between" prompt="Choose a filter option." promptTitle="Dashboard filter" showDropDown="false" showErrorMessage="false" showInputMessage="false" sqref="H4" type="list">
      <formula1>"All,0-12 months,13-24 months,25+ months"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n">
        <v>34</v>
      </c>
      <c r="D2" s="0" t="n">
        <v>12</v>
      </c>
      <c r="E2" s="0" t="s">
        <v>25</v>
      </c>
      <c r="F2" s="12" t="n">
        <v>49.99</v>
      </c>
      <c r="G2" s="12" t="n">
        <v>599.88</v>
      </c>
      <c r="H2" s="0" t="s">
        <v>26</v>
      </c>
      <c r="I2" s="0" t="n">
        <v>3</v>
      </c>
      <c r="J2" s="0" t="s">
        <v>27</v>
      </c>
      <c r="K2" s="0" t="s">
        <v>28</v>
      </c>
      <c r="L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n">
        <v>45</v>
      </c>
      <c r="D3" s="0" t="n">
        <v>24</v>
      </c>
      <c r="E3" s="0" t="s">
        <v>32</v>
      </c>
      <c r="F3" s="12" t="n">
        <v>79.99</v>
      </c>
      <c r="G3" s="12" t="n">
        <v>1919.76</v>
      </c>
      <c r="H3" s="0" t="s">
        <v>33</v>
      </c>
      <c r="I3" s="0" t="n">
        <v>1</v>
      </c>
      <c r="J3" s="0" t="s">
        <v>34</v>
      </c>
      <c r="K3" s="0" t="s">
        <v>35</v>
      </c>
      <c r="L3" s="0" t="s">
        <v>36</v>
      </c>
    </row>
    <row r="4" customFormat="false" ht="15" hidden="false" customHeight="false" outlineLevel="0" collapsed="false">
      <c r="A4" s="0" t="s">
        <v>37</v>
      </c>
      <c r="B4" s="0" t="s">
        <v>24</v>
      </c>
      <c r="C4" s="0" t="n">
        <v>29</v>
      </c>
      <c r="D4" s="0" t="n">
        <v>6</v>
      </c>
      <c r="E4" s="0" t="s">
        <v>25</v>
      </c>
      <c r="F4" s="12" t="n">
        <v>49.99</v>
      </c>
      <c r="G4" s="12" t="n">
        <v>299.94</v>
      </c>
      <c r="H4" s="0" t="s">
        <v>26</v>
      </c>
      <c r="I4" s="0" t="n">
        <v>5</v>
      </c>
      <c r="J4" s="0" t="s">
        <v>38</v>
      </c>
      <c r="K4" s="0" t="s">
        <v>28</v>
      </c>
      <c r="L4" s="0" t="s">
        <v>29</v>
      </c>
    </row>
    <row r="5" customFormat="false" ht="15" hidden="false" customHeight="false" outlineLevel="0" collapsed="false">
      <c r="A5" s="0" t="s">
        <v>39</v>
      </c>
      <c r="B5" s="0" t="s">
        <v>31</v>
      </c>
      <c r="C5" s="0" t="n">
        <v>52</v>
      </c>
      <c r="D5" s="0" t="n">
        <v>36</v>
      </c>
      <c r="E5" s="0" t="s">
        <v>40</v>
      </c>
      <c r="F5" s="12" t="n">
        <v>149.99</v>
      </c>
      <c r="G5" s="12" t="n">
        <v>5399.64</v>
      </c>
      <c r="H5" s="0" t="s">
        <v>41</v>
      </c>
      <c r="I5" s="0" t="n">
        <v>0</v>
      </c>
      <c r="J5" s="0" t="s">
        <v>27</v>
      </c>
      <c r="K5" s="0" t="s">
        <v>35</v>
      </c>
      <c r="L5" s="0" t="s">
        <v>42</v>
      </c>
    </row>
    <row r="6" customFormat="false" ht="15" hidden="false" customHeight="false" outlineLevel="0" collapsed="false">
      <c r="A6" s="0" t="s">
        <v>43</v>
      </c>
      <c r="B6" s="0" t="s">
        <v>24</v>
      </c>
      <c r="C6" s="0" t="n">
        <v>41</v>
      </c>
      <c r="D6" s="0" t="n">
        <v>8</v>
      </c>
      <c r="E6" s="0" t="s">
        <v>32</v>
      </c>
      <c r="F6" s="12" t="n">
        <v>79.99</v>
      </c>
      <c r="G6" s="12" t="n">
        <v>639.92</v>
      </c>
      <c r="H6" s="0" t="s">
        <v>26</v>
      </c>
      <c r="I6" s="0" t="n">
        <v>4</v>
      </c>
      <c r="J6" s="0" t="s">
        <v>44</v>
      </c>
      <c r="K6" s="0" t="s">
        <v>28</v>
      </c>
      <c r="L6" s="0" t="s">
        <v>29</v>
      </c>
    </row>
    <row r="7" customFormat="false" ht="15" hidden="false" customHeight="false" outlineLevel="0" collapsed="false">
      <c r="A7" s="0" t="s">
        <v>45</v>
      </c>
      <c r="B7" s="0" t="s">
        <v>31</v>
      </c>
      <c r="C7" s="0" t="n">
        <v>31</v>
      </c>
      <c r="D7" s="0" t="n">
        <v>18</v>
      </c>
      <c r="E7" s="0" t="s">
        <v>25</v>
      </c>
      <c r="F7" s="12" t="n">
        <v>49.99</v>
      </c>
      <c r="G7" s="12" t="n">
        <v>899.82</v>
      </c>
      <c r="H7" s="0" t="s">
        <v>33</v>
      </c>
      <c r="I7" s="0" t="n">
        <v>2</v>
      </c>
      <c r="J7" s="0" t="s">
        <v>38</v>
      </c>
      <c r="K7" s="0" t="s">
        <v>35</v>
      </c>
      <c r="L7" s="0" t="s">
        <v>36</v>
      </c>
    </row>
    <row r="8" customFormat="false" ht="15" hidden="false" customHeight="false" outlineLevel="0" collapsed="false">
      <c r="A8" s="0" t="s">
        <v>46</v>
      </c>
      <c r="B8" s="0" t="s">
        <v>24</v>
      </c>
      <c r="C8" s="0" t="n">
        <v>23</v>
      </c>
      <c r="D8" s="0" t="n">
        <v>3</v>
      </c>
      <c r="E8" s="0" t="s">
        <v>25</v>
      </c>
      <c r="F8" s="12" t="n">
        <v>49.99</v>
      </c>
      <c r="G8" s="12" t="n">
        <v>149.97</v>
      </c>
      <c r="H8" s="0" t="s">
        <v>26</v>
      </c>
      <c r="I8" s="0" t="n">
        <v>6</v>
      </c>
      <c r="J8" s="0" t="s">
        <v>27</v>
      </c>
      <c r="K8" s="0" t="s">
        <v>28</v>
      </c>
      <c r="L8" s="0" t="s">
        <v>29</v>
      </c>
    </row>
    <row r="9" customFormat="false" ht="15" hidden="false" customHeight="false" outlineLevel="0" collapsed="false">
      <c r="A9" s="0" t="s">
        <v>47</v>
      </c>
      <c r="B9" s="0" t="s">
        <v>31</v>
      </c>
      <c r="C9" s="0" t="n">
        <v>60</v>
      </c>
      <c r="D9" s="0" t="n">
        <v>48</v>
      </c>
      <c r="E9" s="0" t="s">
        <v>40</v>
      </c>
      <c r="F9" s="12" t="n">
        <v>149.99</v>
      </c>
      <c r="G9" s="12" t="n">
        <v>7199.52</v>
      </c>
      <c r="H9" s="0" t="s">
        <v>41</v>
      </c>
      <c r="I9" s="0" t="n">
        <v>1</v>
      </c>
      <c r="J9" s="0" t="s">
        <v>34</v>
      </c>
      <c r="K9" s="0" t="s">
        <v>35</v>
      </c>
      <c r="L9" s="0" t="s">
        <v>42</v>
      </c>
    </row>
    <row r="10" customFormat="false" ht="15" hidden="false" customHeight="false" outlineLevel="0" collapsed="false">
      <c r="A10" s="0" t="s">
        <v>48</v>
      </c>
      <c r="B10" s="0" t="s">
        <v>24</v>
      </c>
      <c r="C10" s="0" t="n">
        <v>38</v>
      </c>
      <c r="D10" s="0" t="n">
        <v>15</v>
      </c>
      <c r="E10" s="0" t="s">
        <v>32</v>
      </c>
      <c r="F10" s="12" t="n">
        <v>79.99</v>
      </c>
      <c r="G10" s="12" t="n">
        <v>1199.85</v>
      </c>
      <c r="H10" s="0" t="s">
        <v>33</v>
      </c>
      <c r="I10" s="0" t="n">
        <v>2</v>
      </c>
      <c r="J10" s="0" t="s">
        <v>27</v>
      </c>
      <c r="K10" s="0" t="s">
        <v>35</v>
      </c>
      <c r="L10" s="0" t="s">
        <v>36</v>
      </c>
    </row>
    <row r="11" customFormat="false" ht="15" hidden="false" customHeight="false" outlineLevel="0" collapsed="false">
      <c r="A11" s="0" t="s">
        <v>49</v>
      </c>
      <c r="B11" s="0" t="s">
        <v>31</v>
      </c>
      <c r="C11" s="0" t="n">
        <v>27</v>
      </c>
      <c r="D11" s="0" t="n">
        <v>4</v>
      </c>
      <c r="E11" s="0" t="s">
        <v>25</v>
      </c>
      <c r="F11" s="12" t="n">
        <v>49.99</v>
      </c>
      <c r="G11" s="12" t="n">
        <v>199.96</v>
      </c>
      <c r="H11" s="0" t="s">
        <v>26</v>
      </c>
      <c r="I11" s="0" t="n">
        <v>4</v>
      </c>
      <c r="J11" s="0" t="s">
        <v>38</v>
      </c>
      <c r="K11" s="0" t="s">
        <v>28</v>
      </c>
      <c r="L11" s="0" t="s">
        <v>29</v>
      </c>
    </row>
    <row r="12" customFormat="false" ht="15" hidden="false" customHeight="false" outlineLevel="0" collapsed="false">
      <c r="A12" s="0" t="s">
        <v>50</v>
      </c>
      <c r="B12" s="0" t="s">
        <v>24</v>
      </c>
      <c r="C12" s="0" t="n">
        <v>49</v>
      </c>
      <c r="D12" s="0" t="n">
        <v>30</v>
      </c>
      <c r="E12" s="0" t="s">
        <v>40</v>
      </c>
      <c r="F12" s="12" t="n">
        <v>149.99</v>
      </c>
      <c r="G12" s="12" t="n">
        <v>4499.7</v>
      </c>
      <c r="H12" s="0" t="s">
        <v>41</v>
      </c>
      <c r="I12" s="0" t="n">
        <v>0</v>
      </c>
      <c r="J12" s="0" t="s">
        <v>27</v>
      </c>
      <c r="K12" s="0" t="s">
        <v>35</v>
      </c>
      <c r="L12" s="0" t="s">
        <v>42</v>
      </c>
    </row>
    <row r="13" customFormat="false" ht="15" hidden="false" customHeight="false" outlineLevel="0" collapsed="false">
      <c r="A13" s="0" t="s">
        <v>51</v>
      </c>
      <c r="B13" s="0" t="s">
        <v>31</v>
      </c>
      <c r="C13" s="0" t="n">
        <v>33</v>
      </c>
      <c r="D13" s="0" t="n">
        <v>14</v>
      </c>
      <c r="E13" s="0" t="s">
        <v>32</v>
      </c>
      <c r="F13" s="12" t="n">
        <v>79.99</v>
      </c>
      <c r="G13" s="12" t="n">
        <v>1119.86</v>
      </c>
      <c r="H13" s="0" t="s">
        <v>26</v>
      </c>
      <c r="I13" s="0" t="n">
        <v>3</v>
      </c>
      <c r="J13" s="0" t="s">
        <v>44</v>
      </c>
      <c r="K13" s="0" t="s">
        <v>28</v>
      </c>
      <c r="L13" s="0" t="s">
        <v>36</v>
      </c>
    </row>
    <row r="14" customFormat="false" ht="15" hidden="false" customHeight="false" outlineLevel="0" collapsed="false">
      <c r="A14" s="0" t="s">
        <v>52</v>
      </c>
      <c r="B14" s="0" t="s">
        <v>24</v>
      </c>
      <c r="C14" s="0" t="n">
        <v>55</v>
      </c>
      <c r="D14" s="0" t="n">
        <v>22</v>
      </c>
      <c r="E14" s="0" t="s">
        <v>25</v>
      </c>
      <c r="F14" s="12" t="n">
        <v>49.99</v>
      </c>
      <c r="G14" s="12" t="n">
        <v>1099.78</v>
      </c>
      <c r="H14" s="0" t="s">
        <v>33</v>
      </c>
      <c r="I14" s="0" t="n">
        <v>1</v>
      </c>
      <c r="J14" s="0" t="s">
        <v>34</v>
      </c>
      <c r="K14" s="0" t="s">
        <v>35</v>
      </c>
      <c r="L14" s="0" t="s">
        <v>36</v>
      </c>
    </row>
    <row r="15" customFormat="false" ht="15" hidden="false" customHeight="false" outlineLevel="0" collapsed="false">
      <c r="A15" s="0" t="s">
        <v>53</v>
      </c>
      <c r="B15" s="0" t="s">
        <v>31</v>
      </c>
      <c r="C15" s="0" t="n">
        <v>26</v>
      </c>
      <c r="D15" s="0" t="n">
        <v>2</v>
      </c>
      <c r="E15" s="0" t="s">
        <v>25</v>
      </c>
      <c r="F15" s="12" t="n">
        <v>49.99</v>
      </c>
      <c r="G15" s="12" t="n">
        <v>99.98</v>
      </c>
      <c r="H15" s="0" t="s">
        <v>26</v>
      </c>
      <c r="I15" s="0" t="n">
        <v>5</v>
      </c>
      <c r="J15" s="0" t="s">
        <v>38</v>
      </c>
      <c r="K15" s="0" t="s">
        <v>28</v>
      </c>
      <c r="L15" s="0" t="s">
        <v>29</v>
      </c>
    </row>
    <row r="16" customFormat="false" ht="15" hidden="false" customHeight="false" outlineLevel="0" collapsed="false">
      <c r="A16" s="0" t="s">
        <v>54</v>
      </c>
      <c r="B16" s="0" t="s">
        <v>24</v>
      </c>
      <c r="C16" s="0" t="n">
        <v>43</v>
      </c>
      <c r="D16" s="0" t="n">
        <v>40</v>
      </c>
      <c r="E16" s="0" t="s">
        <v>40</v>
      </c>
      <c r="F16" s="12" t="n">
        <v>149.99</v>
      </c>
      <c r="G16" s="12" t="n">
        <v>5999.6</v>
      </c>
      <c r="H16" s="0" t="s">
        <v>41</v>
      </c>
      <c r="I16" s="0" t="n">
        <v>1</v>
      </c>
      <c r="J16" s="0" t="s">
        <v>27</v>
      </c>
      <c r="K16" s="0" t="s">
        <v>35</v>
      </c>
      <c r="L16" s="0" t="s">
        <v>42</v>
      </c>
    </row>
  </sheetData>
  <autoFilter ref="A1:L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6" min="5" style="0" width="20"/>
    <col collapsed="false" customWidth="true" hidden="false" outlineLevel="0" max="9" min="7" style="0" width="17"/>
  </cols>
  <sheetData>
    <row r="1" customFormat="false" ht="17.35" hidden="false" customHeight="false" outlineLevel="0" collapsed="false">
      <c r="A1" s="13" t="s">
        <v>55</v>
      </c>
      <c r="F1" s="13" t="s">
        <v>56</v>
      </c>
    </row>
    <row r="2" customFormat="false" ht="15" hidden="false" customHeight="false" outlineLevel="0" collapsed="false">
      <c r="A2" s="14" t="s">
        <v>2</v>
      </c>
      <c r="B2" s="14" t="s">
        <v>6</v>
      </c>
      <c r="C2" s="14" t="s">
        <v>57</v>
      </c>
      <c r="D2" s="14" t="s">
        <v>7</v>
      </c>
      <c r="F2" s="14" t="s">
        <v>58</v>
      </c>
      <c r="G2" s="14" t="s">
        <v>6</v>
      </c>
      <c r="H2" s="14" t="s">
        <v>57</v>
      </c>
      <c r="I2" s="14" t="s">
        <v>7</v>
      </c>
    </row>
    <row r="3" customFormat="false" ht="15" hidden="false" customHeight="false" outlineLevel="0" collapsed="false">
      <c r="A3" s="0" t="s">
        <v>26</v>
      </c>
      <c r="B3" s="0" t="n">
        <f aca="false">COUNTIF('Cleaned Data'!$H$2:$H$16,A3)</f>
        <v>7</v>
      </c>
      <c r="C3" s="0" t="n">
        <f aca="false">COUNTIFS('Cleaned Data'!$H$2:$H$16,A3,'Cleaned Data'!$K$2:$K$16,"Yes")</f>
        <v>7</v>
      </c>
      <c r="D3" s="15" t="n">
        <f aca="false">IFERROR(C3/B3,0)</f>
        <v>1</v>
      </c>
      <c r="F3" s="0" t="s">
        <v>25</v>
      </c>
      <c r="G3" s="0" t="n">
        <f aca="false">COUNTIF('Cleaned Data'!$E$2:$E$16,F3)</f>
        <v>7</v>
      </c>
      <c r="H3" s="0" t="n">
        <f aca="false">COUNTIFS('Cleaned Data'!$E$2:$E$16,F3,'Cleaned Data'!$K$2:$K$16,"Yes")</f>
        <v>5</v>
      </c>
      <c r="I3" s="15" t="n">
        <f aca="false">IFERROR(H3/G3,0)</f>
        <v>0.714285714285714</v>
      </c>
    </row>
    <row r="4" customFormat="false" ht="15" hidden="false" customHeight="false" outlineLevel="0" collapsed="false">
      <c r="A4" s="0" t="s">
        <v>33</v>
      </c>
      <c r="B4" s="0" t="n">
        <f aca="false">COUNTIF('Cleaned Data'!$H$2:$H$16,A4)</f>
        <v>4</v>
      </c>
      <c r="C4" s="0" t="n">
        <f aca="false">COUNTIFS('Cleaned Data'!$H$2:$H$16,A4,'Cleaned Data'!$K$2:$K$16,"Yes")</f>
        <v>0</v>
      </c>
      <c r="D4" s="15" t="n">
        <f aca="false">IFERROR(C4/B4,0)</f>
        <v>0</v>
      </c>
      <c r="F4" s="0" t="s">
        <v>40</v>
      </c>
      <c r="G4" s="0" t="n">
        <f aca="false">COUNTIF('Cleaned Data'!$E$2:$E$16,F4)</f>
        <v>4</v>
      </c>
      <c r="H4" s="0" t="n">
        <f aca="false">COUNTIFS('Cleaned Data'!$E$2:$E$16,F4,'Cleaned Data'!$K$2:$K$16,"Yes")</f>
        <v>0</v>
      </c>
      <c r="I4" s="15" t="n">
        <f aca="false">IFERROR(H4/G4,0)</f>
        <v>0</v>
      </c>
    </row>
    <row r="5" customFormat="false" ht="15" hidden="false" customHeight="false" outlineLevel="0" collapsed="false">
      <c r="A5" s="0" t="s">
        <v>41</v>
      </c>
      <c r="B5" s="0" t="n">
        <f aca="false">COUNTIF('Cleaned Data'!$H$2:$H$16,A5)</f>
        <v>4</v>
      </c>
      <c r="C5" s="0" t="n">
        <f aca="false">COUNTIFS('Cleaned Data'!$H$2:$H$16,A5,'Cleaned Data'!$K$2:$K$16,"Yes")</f>
        <v>0</v>
      </c>
      <c r="D5" s="15" t="n">
        <f aca="false">IFERROR(C5/B5,0)</f>
        <v>0</v>
      </c>
      <c r="F5" s="0" t="s">
        <v>32</v>
      </c>
      <c r="G5" s="0" t="n">
        <f aca="false">COUNTIF('Cleaned Data'!$E$2:$E$16,F5)</f>
        <v>4</v>
      </c>
      <c r="H5" s="0" t="n">
        <f aca="false">COUNTIFS('Cleaned Data'!$E$2:$E$16,F5,'Cleaned Data'!$K$2:$K$16,"Yes")</f>
        <v>2</v>
      </c>
      <c r="I5" s="15" t="n">
        <f aca="false">IFERROR(H5/G5,0)</f>
        <v>0.5</v>
      </c>
    </row>
    <row r="8" customFormat="false" ht="17.35" hidden="false" customHeight="false" outlineLevel="0" collapsed="false">
      <c r="A8" s="13" t="s">
        <v>59</v>
      </c>
    </row>
    <row r="9" customFormat="false" ht="15" hidden="false" customHeight="false" outlineLevel="0" collapsed="false">
      <c r="A9" s="14" t="s">
        <v>4</v>
      </c>
      <c r="B9" s="14" t="s">
        <v>6</v>
      </c>
      <c r="C9" s="14" t="s">
        <v>57</v>
      </c>
      <c r="D9" s="14" t="s">
        <v>7</v>
      </c>
    </row>
    <row r="10" customFormat="false" ht="15" hidden="false" customHeight="false" outlineLevel="0" collapsed="false">
      <c r="A10" s="0" t="s">
        <v>34</v>
      </c>
      <c r="B10" s="0" t="n">
        <f aca="false">COUNTIF('Cleaned Data'!$J$2:$J$16,A10)</f>
        <v>3</v>
      </c>
      <c r="C10" s="0" t="n">
        <f aca="false">COUNTIFS('Cleaned Data'!$J$2:$J$16,A10,'Cleaned Data'!$K$2:$K$16,"Yes")</f>
        <v>0</v>
      </c>
      <c r="D10" s="15" t="n">
        <f aca="false">IFERROR(C10/B10,0)</f>
        <v>0</v>
      </c>
    </row>
    <row r="11" customFormat="false" ht="15" hidden="false" customHeight="false" outlineLevel="0" collapsed="false">
      <c r="A11" s="0" t="s">
        <v>27</v>
      </c>
      <c r="B11" s="0" t="n">
        <f aca="false">COUNTIF('Cleaned Data'!$J$2:$J$16,A11)</f>
        <v>6</v>
      </c>
      <c r="C11" s="0" t="n">
        <f aca="false">COUNTIFS('Cleaned Data'!$J$2:$J$16,A11,'Cleaned Data'!$K$2:$K$16,"Yes")</f>
        <v>2</v>
      </c>
      <c r="D11" s="15" t="n">
        <f aca="false">IFERROR(C11/B11,0)</f>
        <v>0.333333333333333</v>
      </c>
    </row>
    <row r="12" customFormat="false" ht="15" hidden="false" customHeight="false" outlineLevel="0" collapsed="false">
      <c r="A12" s="0" t="s">
        <v>44</v>
      </c>
      <c r="B12" s="0" t="n">
        <f aca="false">COUNTIF('Cleaned Data'!$J$2:$J$16,A12)</f>
        <v>2</v>
      </c>
      <c r="C12" s="0" t="n">
        <f aca="false">COUNTIFS('Cleaned Data'!$J$2:$J$16,A12,'Cleaned Data'!$K$2:$K$16,"Yes")</f>
        <v>2</v>
      </c>
      <c r="D12" s="15" t="n">
        <f aca="false">IFERROR(C12/B12,0)</f>
        <v>1</v>
      </c>
    </row>
    <row r="13" customFormat="false" ht="15" hidden="false" customHeight="false" outlineLevel="0" collapsed="false">
      <c r="A13" s="0" t="s">
        <v>38</v>
      </c>
      <c r="B13" s="0" t="n">
        <f aca="false">COUNTIF('Cleaned Data'!$J$2:$J$16,A13)</f>
        <v>4</v>
      </c>
      <c r="C13" s="0" t="n">
        <f aca="false">COUNTIFS('Cleaned Data'!$J$2:$J$16,A13,'Cleaned Data'!$K$2:$K$16,"Yes")</f>
        <v>3</v>
      </c>
      <c r="D13" s="15" t="n">
        <f aca="false">IFERROR(C13/B13,0)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5"/>
  </cols>
  <sheetData>
    <row r="1" customFormat="false" ht="36" hidden="false" customHeight="true" outlineLevel="0" collapsed="false">
      <c r="A1" s="16" t="s">
        <v>60</v>
      </c>
    </row>
    <row r="2" customFormat="false" ht="30" hidden="false" customHeight="true" outlineLevel="0" collapsed="false">
      <c r="A2" s="17" t="s">
        <v>61</v>
      </c>
    </row>
    <row r="3" customFormat="false" ht="30" hidden="false" customHeight="true" outlineLevel="0" collapsed="false">
      <c r="A3" s="18" t="s">
        <v>62</v>
      </c>
    </row>
    <row r="4" customFormat="false" ht="30" hidden="false" customHeight="true" outlineLevel="0" collapsed="false">
      <c r="A4" s="17" t="s">
        <v>63</v>
      </c>
    </row>
    <row r="5" customFormat="false" ht="30" hidden="false" customHeight="true" outlineLevel="0" collapsed="false">
      <c r="A5" s="18" t="s">
        <v>64</v>
      </c>
    </row>
    <row r="6" customFormat="false" ht="30" hidden="false" customHeight="true" outlineLevel="0" collapsed="false">
      <c r="A6" s="18" t="s">
        <v>65</v>
      </c>
    </row>
    <row r="7" customFormat="false" ht="30" hidden="false" customHeight="true" outlineLevel="0" collapsed="false">
      <c r="A7" s="18" t="s">
        <v>66</v>
      </c>
    </row>
    <row r="8" customFormat="false" ht="30" hidden="false" customHeight="true" outlineLevel="0" collapsed="false">
      <c r="A8" s="18" t="s">
        <v>67</v>
      </c>
    </row>
    <row r="9" customFormat="false" ht="30" hidden="false" customHeight="true" outlineLevel="0" collapsed="false">
      <c r="A9" s="17" t="s">
        <v>68</v>
      </c>
    </row>
    <row r="10" customFormat="false" ht="30" hidden="false" customHeight="true" outlineLevel="0" collapsed="false">
      <c r="A10" s="18" t="s">
        <v>69</v>
      </c>
    </row>
    <row r="11" customFormat="false" ht="30" hidden="false" customHeight="true" outlineLevel="0" collapsed="false">
      <c r="A11" s="18" t="s">
        <v>70</v>
      </c>
    </row>
    <row r="12" customFormat="false" ht="30" hidden="false" customHeight="true" outlineLevel="0" collapsed="false">
      <c r="A12" s="18" t="s">
        <v>71</v>
      </c>
    </row>
    <row r="13" customFormat="false" ht="30" hidden="false" customHeight="true" outlineLevel="0" collapsed="false">
      <c r="A13" s="18" t="s">
        <v>72</v>
      </c>
    </row>
    <row r="14" customFormat="false" ht="30" hidden="false" customHeight="true" outlineLevel="0" collapsed="false">
      <c r="A14" s="17" t="s">
        <v>73</v>
      </c>
    </row>
    <row r="15" customFormat="false" ht="30" hidden="false" customHeight="true" outlineLevel="0" collapsed="false">
      <c r="A15" s="18" t="s">
        <v>74</v>
      </c>
    </row>
    <row r="16" customFormat="false" ht="30" hidden="false" customHeight="true" outlineLevel="0" collapsed="false">
      <c r="A16" s="18" t="s">
        <v>75</v>
      </c>
    </row>
    <row r="17" customFormat="false" ht="30" hidden="false" customHeight="true" outlineLevel="0" collapsed="false">
      <c r="A17" s="17" t="s">
        <v>76</v>
      </c>
    </row>
    <row r="18" customFormat="false" ht="30" hidden="false" customHeight="true" outlineLevel="0" collapsed="false">
      <c r="A18" s="18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2026-10-18T15:30:43Z</dcterms:created>
  <dc:creator>openpyxl</dc:creator>
  <dc:description/>
  <dc:language>en-US</dc:language>
  <cp:lastModifiedBy/>
  <dcterms:modified xsi:type="dcterms:W3CDTF">2026-10-18T15:30:43Z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